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lex/git/Labs/Physics_Labs/1_sem/Lab111/"/>
    </mc:Choice>
  </mc:AlternateContent>
  <xr:revisionPtr revIDLastSave="0" documentId="13_ncr:1_{71187A4B-EF8E-CD42-BC9D-6F040F2A2208}" xr6:coauthVersionLast="47" xr6:coauthVersionMax="47" xr10:uidLastSave="{00000000-0000-0000-0000-000000000000}"/>
  <bookViews>
    <workbookView xWindow="2160" yWindow="760" windowWidth="25900" windowHeight="17500" xr2:uid="{00000000-000D-0000-FFFF-FFFF00000000}"/>
  </bookViews>
  <sheets>
    <sheet name="Sheet1" sheetId="1" r:id="rId1"/>
    <sheet name="Shee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J60" i="1"/>
  <c r="C49" i="1"/>
  <c r="C18" i="1"/>
  <c r="C20" i="1"/>
  <c r="D21" i="1"/>
  <c r="I47" i="1"/>
  <c r="P59" i="1"/>
  <c r="N59" i="1"/>
  <c r="T58" i="1"/>
  <c r="S58" i="1"/>
  <c r="R58" i="1"/>
  <c r="P58" i="1"/>
  <c r="N58" i="1"/>
  <c r="L58" i="1"/>
  <c r="J58" i="1"/>
  <c r="T57" i="1"/>
  <c r="S57" i="1"/>
  <c r="R57" i="1"/>
  <c r="P57" i="1"/>
  <c r="N57" i="1"/>
  <c r="L57" i="1"/>
  <c r="J57" i="1"/>
  <c r="I57" i="1"/>
  <c r="T56" i="1"/>
  <c r="R56" i="1"/>
  <c r="P56" i="1"/>
  <c r="N56" i="1"/>
  <c r="M56" i="1"/>
  <c r="L56" i="1"/>
  <c r="J56" i="1"/>
  <c r="T55" i="1"/>
  <c r="R55" i="1"/>
  <c r="P55" i="1"/>
  <c r="N55" i="1"/>
  <c r="L55" i="1"/>
  <c r="J55" i="1"/>
  <c r="T54" i="1"/>
  <c r="R54" i="1"/>
  <c r="P54" i="1"/>
  <c r="N54" i="1"/>
  <c r="M54" i="1"/>
  <c r="L54" i="1"/>
  <c r="K54" i="1"/>
  <c r="J54" i="1"/>
  <c r="T53" i="1"/>
  <c r="R53" i="1"/>
  <c r="P53" i="1"/>
  <c r="N53" i="1"/>
  <c r="M53" i="1"/>
  <c r="L53" i="1"/>
  <c r="J53" i="1"/>
  <c r="T52" i="1"/>
  <c r="R52" i="1"/>
  <c r="P52" i="1"/>
  <c r="N52" i="1"/>
  <c r="L52" i="1"/>
  <c r="J52" i="1"/>
  <c r="I52" i="1"/>
  <c r="T51" i="1"/>
  <c r="R51" i="1"/>
  <c r="P51" i="1"/>
  <c r="O51" i="1"/>
  <c r="N51" i="1"/>
  <c r="L51" i="1"/>
  <c r="J51" i="1"/>
  <c r="T50" i="1"/>
  <c r="S50" i="1"/>
  <c r="R50" i="1"/>
  <c r="Q50" i="1"/>
  <c r="P50" i="1"/>
  <c r="N50" i="1"/>
  <c r="L50" i="1"/>
  <c r="J50" i="1"/>
  <c r="I50" i="1"/>
  <c r="T49" i="1"/>
  <c r="R49" i="1"/>
  <c r="P49" i="1"/>
  <c r="N49" i="1"/>
  <c r="M49" i="1"/>
  <c r="L49" i="1"/>
  <c r="J49" i="1"/>
  <c r="T48" i="1"/>
  <c r="S48" i="1"/>
  <c r="R48" i="1"/>
  <c r="P48" i="1"/>
  <c r="N48" i="1"/>
  <c r="L48" i="1"/>
  <c r="J48" i="1"/>
  <c r="I48" i="1"/>
  <c r="T47" i="1"/>
  <c r="T59" i="1" s="1"/>
  <c r="S47" i="1"/>
  <c r="R47" i="1"/>
  <c r="R59" i="1" s="1"/>
  <c r="P47" i="1"/>
  <c r="N47" i="1"/>
  <c r="L47" i="1"/>
  <c r="L59" i="1" s="1"/>
  <c r="J47" i="1"/>
  <c r="J59" i="1" s="1"/>
  <c r="L44" i="1"/>
  <c r="M58" i="1" s="1"/>
  <c r="H44" i="1"/>
  <c r="Q58" i="1" s="1"/>
  <c r="D44" i="1"/>
  <c r="O58" i="1" s="1"/>
  <c r="L43" i="1"/>
  <c r="M57" i="1" s="1"/>
  <c r="H43" i="1"/>
  <c r="Q57" i="1" s="1"/>
  <c r="D43" i="1"/>
  <c r="O57" i="1" s="1"/>
  <c r="L42" i="1"/>
  <c r="S56" i="1" s="1"/>
  <c r="H42" i="1"/>
  <c r="K56" i="1" s="1"/>
  <c r="D42" i="1"/>
  <c r="I56" i="1" s="1"/>
  <c r="L41" i="1"/>
  <c r="S55" i="1" s="1"/>
  <c r="H41" i="1"/>
  <c r="Q55" i="1" s="1"/>
  <c r="D41" i="1"/>
  <c r="O55" i="1" s="1"/>
  <c r="L40" i="1"/>
  <c r="S54" i="1" s="1"/>
  <c r="H40" i="1"/>
  <c r="Q54" i="1" s="1"/>
  <c r="D40" i="1"/>
  <c r="I54" i="1" s="1"/>
  <c r="L39" i="1"/>
  <c r="S53" i="1" s="1"/>
  <c r="H39" i="1"/>
  <c r="K53" i="1" s="1"/>
  <c r="D39" i="1"/>
  <c r="I53" i="1" s="1"/>
  <c r="L38" i="1"/>
  <c r="M52" i="1" s="1"/>
  <c r="H38" i="1"/>
  <c r="Q52" i="1" s="1"/>
  <c r="D38" i="1"/>
  <c r="O52" i="1" s="1"/>
  <c r="L37" i="1"/>
  <c r="S51" i="1" s="1"/>
  <c r="H37" i="1"/>
  <c r="K51" i="1" s="1"/>
  <c r="D37" i="1"/>
  <c r="I51" i="1" s="1"/>
  <c r="L36" i="1"/>
  <c r="M50" i="1" s="1"/>
  <c r="H36" i="1"/>
  <c r="K50" i="1" s="1"/>
  <c r="D36" i="1"/>
  <c r="O50" i="1" s="1"/>
  <c r="L35" i="1"/>
  <c r="S49" i="1" s="1"/>
  <c r="H35" i="1"/>
  <c r="K49" i="1" s="1"/>
  <c r="D35" i="1"/>
  <c r="I49" i="1" s="1"/>
  <c r="L34" i="1"/>
  <c r="M48" i="1" s="1"/>
  <c r="H34" i="1"/>
  <c r="Q48" i="1" s="1"/>
  <c r="D34" i="1"/>
  <c r="O48" i="1" s="1"/>
  <c r="L33" i="1"/>
  <c r="M47" i="1" s="1"/>
  <c r="H33" i="1"/>
  <c r="Q47" i="1" s="1"/>
  <c r="D33" i="1"/>
  <c r="O47" i="1" s="1"/>
  <c r="G19" i="1"/>
  <c r="D19" i="1"/>
  <c r="I59" i="1" l="1"/>
  <c r="F18" i="1"/>
  <c r="F20" i="1" s="1"/>
  <c r="G18" i="1"/>
  <c r="G20" i="1" s="1"/>
  <c r="S52" i="1"/>
  <c r="S59" i="1" s="1"/>
  <c r="T60" i="1" s="1"/>
  <c r="G51" i="1" s="1"/>
  <c r="O49" i="1"/>
  <c r="O53" i="1"/>
  <c r="K55" i="1"/>
  <c r="K57" i="1"/>
  <c r="I58" i="1"/>
  <c r="D23" i="1"/>
  <c r="D24" i="1" s="1"/>
  <c r="K47" i="1"/>
  <c r="O56" i="1"/>
  <c r="H18" i="1"/>
  <c r="H20" i="1" s="1"/>
  <c r="I18" i="1"/>
  <c r="I20" i="1" s="1"/>
  <c r="K48" i="1"/>
  <c r="K52" i="1"/>
  <c r="Q56" i="1"/>
  <c r="D18" i="1"/>
  <c r="D20" i="1" s="1"/>
  <c r="D22" i="1" s="1"/>
  <c r="Q49" i="1"/>
  <c r="Q59" i="1" s="1"/>
  <c r="Q51" i="1"/>
  <c r="Q53" i="1"/>
  <c r="O54" i="1"/>
  <c r="O59" i="1" s="1"/>
  <c r="P60" i="1" s="1"/>
  <c r="C51" i="1" s="1"/>
  <c r="M55" i="1"/>
  <c r="M59" i="1" s="1"/>
  <c r="N60" i="1" s="1"/>
  <c r="G49" i="1" s="1"/>
  <c r="K58" i="1"/>
  <c r="M51" i="1"/>
  <c r="K18" i="1"/>
  <c r="K20" i="1" s="1"/>
  <c r="E18" i="1"/>
  <c r="E20" i="1" s="1"/>
  <c r="I55" i="1"/>
  <c r="J18" i="1"/>
  <c r="J20" i="1" s="1"/>
  <c r="L18" i="1"/>
  <c r="L20" i="1" s="1"/>
  <c r="G52" i="1" l="1"/>
  <c r="G53" i="1" s="1"/>
  <c r="E57" i="1" s="1"/>
  <c r="G50" i="1"/>
  <c r="C62" i="1" s="1"/>
  <c r="E56" i="1"/>
  <c r="K59" i="1"/>
  <c r="L60" i="1" s="1"/>
  <c r="E49" i="1" s="1"/>
  <c r="C53" i="1"/>
  <c r="C57" i="1" s="1"/>
  <c r="C50" i="1"/>
  <c r="C60" i="1" s="1"/>
  <c r="C56" i="1"/>
  <c r="D62" i="1" l="1"/>
  <c r="D60" i="1"/>
  <c r="D61" i="1"/>
  <c r="E52" i="1"/>
  <c r="E50" i="1"/>
  <c r="C61" i="1" s="1"/>
  <c r="G62" i="1" s="1"/>
  <c r="D56" i="1"/>
  <c r="R60" i="1"/>
  <c r="E51" i="1" s="1"/>
  <c r="E53" i="1" s="1"/>
  <c r="D57" i="1" s="1"/>
  <c r="I62" i="1" l="1"/>
</calcChain>
</file>

<file path=xl/sharedStrings.xml><?xml version="1.0" encoding="utf-8"?>
<sst xmlns="http://schemas.openxmlformats.org/spreadsheetml/2006/main" count="79" uniqueCount="55">
  <si>
    <t>Основные характеристики приборов</t>
  </si>
  <si>
    <t>N</t>
  </si>
  <si>
    <t>Вольтметр</t>
  </si>
  <si>
    <t>Миллиамперметр</t>
  </si>
  <si>
    <t>V, дел</t>
  </si>
  <si>
    <t>Система</t>
  </si>
  <si>
    <t>Магнитоэлектрическая</t>
  </si>
  <si>
    <t>Цифровая</t>
  </si>
  <si>
    <t>I, дел</t>
  </si>
  <si>
    <t>Класс точности</t>
  </si>
  <si>
    <t>V, В</t>
  </si>
  <si>
    <t>Предел измерений</t>
  </si>
  <si>
    <t>I, А</t>
  </si>
  <si>
    <t>Число делений</t>
  </si>
  <si>
    <t>Цена деления</t>
  </si>
  <si>
    <t>Точность</t>
  </si>
  <si>
    <t>Чувствительность</t>
  </si>
  <si>
    <t>Прибор</t>
  </si>
  <si>
    <t>Абсолютная погрешность</t>
  </si>
  <si>
    <t>Штангенциркуль</t>
  </si>
  <si>
    <t>Внутреннее сопротивление</t>
  </si>
  <si>
    <t>Микрометр</t>
  </si>
  <si>
    <t>Результаты измерения диаметра проволки</t>
  </si>
  <si>
    <t>d1, mm</t>
  </si>
  <si>
    <t>d2, mm</t>
  </si>
  <si>
    <t>d1 =</t>
  </si>
  <si>
    <t xml:space="preserve">d2 = </t>
  </si>
  <si>
    <t xml:space="preserve">sigmaRandom = </t>
  </si>
  <si>
    <t xml:space="preserve">sigma = </t>
  </si>
  <si>
    <t>S =</t>
  </si>
  <si>
    <t>sigmaS =</t>
  </si>
  <si>
    <t>Показания вольтметра и амперметра</t>
  </si>
  <si>
    <t>l = 20 см</t>
  </si>
  <si>
    <t>l = 30 см</t>
  </si>
  <si>
    <t>l = 50 см</t>
  </si>
  <si>
    <t>V, дел, 1мВ/дел</t>
  </si>
  <si>
    <t>I, дел, 2мА/дел</t>
  </si>
  <si>
    <t>V, мВ</t>
  </si>
  <si>
    <t>I, мА</t>
  </si>
  <si>
    <t>I, дел, 0,5мА/дел</t>
  </si>
  <si>
    <t>Зона костылей (не трогать)</t>
  </si>
  <si>
    <t>R0</t>
  </si>
  <si>
    <t>Rср</t>
  </si>
  <si>
    <t>Rпр</t>
  </si>
  <si>
    <t>sigmaСлучR</t>
  </si>
  <si>
    <t>sigmaСистR</t>
  </si>
  <si>
    <t>sigmaR</t>
  </si>
  <si>
    <t>l, см</t>
  </si>
  <si>
    <t>Rср, Ом</t>
  </si>
  <si>
    <t>sigmaR, Ом</t>
  </si>
  <si>
    <t>p</t>
  </si>
  <si>
    <t>sigmaP</t>
  </si>
  <si>
    <t>p=</t>
  </si>
  <si>
    <t>+-</t>
  </si>
  <si>
    <t>Параметр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</si>
</sst>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6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106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49" fontId="0" fillId="0" borderId="1" xfId="0" applyNumberFormat="1" applyBorder="1"/>
    <xf numFmtId="0" fontId="0" fillId="0" borderId="3" xfId="0" applyBorder="1"/>
    <xf numFmtId="0" fontId="0" fillId="0" borderId="4" xfId="0" applyBorder="1"/>
    <xf numFmtId="49" fontId="0" fillId="0" borderId="5" xfId="0" applyNumberFormat="1" applyBorder="1"/>
    <xf numFmtId="0" fontId="0" fillId="0" borderId="5" xfId="0" applyNumberFormat="1" applyBorder="1"/>
    <xf numFmtId="0" fontId="0" fillId="0" borderId="6" xfId="0" applyBorder="1"/>
    <xf numFmtId="49" fontId="0" fillId="0" borderId="8" xfId="0" applyNumberFormat="1" applyBorder="1"/>
    <xf numFmtId="49" fontId="0" fillId="0" borderId="9" xfId="0" applyNumberFormat="1" applyBorder="1"/>
    <xf numFmtId="0" fontId="0" fillId="0" borderId="10" xfId="0" applyBorder="1"/>
    <xf numFmtId="0" fontId="0" fillId="0" borderId="11" xfId="0" applyBorder="1"/>
    <xf numFmtId="49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0" fontId="0" fillId="0" borderId="16" xfId="0" applyNumberFormat="1" applyBorder="1"/>
    <xf numFmtId="0" fontId="0" fillId="0" borderId="17" xfId="0" applyBorder="1"/>
    <xf numFmtId="0" fontId="0" fillId="0" borderId="18" xfId="0" applyBorder="1"/>
    <xf numFmtId="49" fontId="1" fillId="0" borderId="2" xfId="0" applyNumberFormat="1" applyFont="1" applyBorder="1"/>
    <xf numFmtId="0" fontId="0" fillId="0" borderId="17" xfId="0" applyNumberFormat="1" applyBorder="1"/>
    <xf numFmtId="49" fontId="0" fillId="0" borderId="19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Border="1"/>
    <xf numFmtId="0" fontId="0" fillId="2" borderId="23" xfId="0" applyNumberFormat="1" applyFill="1" applyBorder="1"/>
    <xf numFmtId="0" fontId="0" fillId="2" borderId="18" xfId="0" applyNumberFormat="1" applyFill="1" applyBorder="1"/>
    <xf numFmtId="0" fontId="0" fillId="0" borderId="9" xfId="0" applyNumberFormat="1" applyBorder="1"/>
    <xf numFmtId="0" fontId="0" fillId="0" borderId="24" xfId="0" applyBorder="1"/>
    <xf numFmtId="0" fontId="0" fillId="2" borderId="22" xfId="0" applyNumberFormat="1" applyFill="1" applyBorder="1"/>
    <xf numFmtId="0" fontId="0" fillId="2" borderId="1" xfId="0" applyNumberFormat="1" applyFill="1" applyBorder="1"/>
    <xf numFmtId="0" fontId="0" fillId="0" borderId="1" xfId="0" applyNumberFormat="1" applyBorder="1"/>
    <xf numFmtId="49" fontId="1" fillId="0" borderId="3" xfId="0" applyNumberFormat="1" applyFont="1" applyBorder="1"/>
    <xf numFmtId="49" fontId="0" fillId="0" borderId="10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5" xfId="0" applyNumberFormat="1" applyBorder="1"/>
    <xf numFmtId="49" fontId="0" fillId="0" borderId="10" xfId="0" applyNumberFormat="1" applyBorder="1"/>
    <xf numFmtId="0" fontId="0" fillId="0" borderId="26" xfId="0" applyNumberFormat="1" applyBorder="1"/>
    <xf numFmtId="0" fontId="0" fillId="3" borderId="27" xfId="0" applyNumberFormat="1" applyFill="1" applyBorder="1"/>
    <xf numFmtId="0" fontId="0" fillId="0" borderId="27" xfId="0" applyNumberFormat="1" applyBorder="1"/>
    <xf numFmtId="0" fontId="0" fillId="0" borderId="28" xfId="0" applyNumberFormat="1" applyBorder="1"/>
    <xf numFmtId="0" fontId="0" fillId="0" borderId="10" xfId="0" applyNumberFormat="1" applyBorder="1"/>
    <xf numFmtId="0" fontId="0" fillId="0" borderId="29" xfId="0" applyNumberFormat="1" applyBorder="1"/>
    <xf numFmtId="0" fontId="0" fillId="3" borderId="5" xfId="0" applyNumberFormat="1" applyFill="1" applyBorder="1"/>
    <xf numFmtId="0" fontId="0" fillId="0" borderId="30" xfId="0" applyNumberFormat="1" applyBorder="1"/>
    <xf numFmtId="0" fontId="0" fillId="0" borderId="31" xfId="0" applyNumberFormat="1" applyBorder="1"/>
    <xf numFmtId="0" fontId="0" fillId="3" borderId="32" xfId="0" applyNumberFormat="1" applyFill="1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49" fontId="0" fillId="0" borderId="41" xfId="0" applyNumberFormat="1" applyBorder="1"/>
    <xf numFmtId="0" fontId="0" fillId="0" borderId="29" xfId="0" applyBorder="1"/>
    <xf numFmtId="0" fontId="0" fillId="2" borderId="5" xfId="0" applyNumberFormat="1" applyFill="1" applyBorder="1"/>
    <xf numFmtId="0" fontId="0" fillId="2" borderId="43" xfId="0" applyNumberFormat="1" applyFill="1" applyBorder="1"/>
    <xf numFmtId="49" fontId="0" fillId="0" borderId="44" xfId="0" applyNumberFormat="1" applyBorder="1"/>
    <xf numFmtId="0" fontId="0" fillId="0" borderId="44" xfId="0" applyNumberFormat="1" applyBorder="1"/>
    <xf numFmtId="49" fontId="0" fillId="0" borderId="45" xfId="0" applyNumberFormat="1" applyBorder="1"/>
    <xf numFmtId="0" fontId="0" fillId="0" borderId="45" xfId="0" applyNumberFormat="1" applyBorder="1"/>
    <xf numFmtId="49" fontId="0" fillId="0" borderId="46" xfId="0" applyNumberFormat="1" applyBorder="1"/>
    <xf numFmtId="0" fontId="0" fillId="0" borderId="46" xfId="0" applyNumberFormat="1" applyBorder="1"/>
    <xf numFmtId="0" fontId="0" fillId="0" borderId="47" xfId="0" applyBorder="1"/>
    <xf numFmtId="0" fontId="0" fillId="0" borderId="48" xfId="0" applyBorder="1"/>
    <xf numFmtId="0" fontId="0" fillId="0" borderId="25" xfId="0" applyBorder="1"/>
    <xf numFmtId="0" fontId="0" fillId="0" borderId="49" xfId="0" applyBorder="1"/>
    <xf numFmtId="0" fontId="0" fillId="0" borderId="50" xfId="0" applyBorder="1"/>
    <xf numFmtId="0" fontId="0" fillId="0" borderId="5" xfId="0" applyBorder="1"/>
    <xf numFmtId="49" fontId="0" fillId="0" borderId="24" xfId="0" applyNumberFormat="1" applyBorder="1"/>
    <xf numFmtId="0" fontId="0" fillId="0" borderId="41" xfId="0" applyNumberFormat="1" applyBorder="1"/>
    <xf numFmtId="0" fontId="0" fillId="0" borderId="51" xfId="0" applyNumberFormat="1" applyBorder="1"/>
    <xf numFmtId="0" fontId="0" fillId="0" borderId="42" xfId="0" applyNumberFormat="1" applyBorder="1"/>
    <xf numFmtId="0" fontId="0" fillId="0" borderId="51" xfId="0" applyBorder="1"/>
    <xf numFmtId="0" fontId="0" fillId="0" borderId="27" xfId="0" applyBorder="1"/>
    <xf numFmtId="49" fontId="0" fillId="0" borderId="42" xfId="0" applyNumberFormat="1" applyBorder="1"/>
    <xf numFmtId="0" fontId="0" fillId="2" borderId="5" xfId="0" applyFill="1" applyBorder="1"/>
    <xf numFmtId="0" fontId="0" fillId="2" borderId="52" xfId="0" applyNumberFormat="1" applyFill="1" applyBorder="1"/>
    <xf numFmtId="0" fontId="0" fillId="2" borderId="53" xfId="0" applyNumberFormat="1" applyFill="1" applyBorder="1"/>
    <xf numFmtId="0" fontId="0" fillId="0" borderId="32" xfId="0" applyBorder="1"/>
    <xf numFmtId="0" fontId="0" fillId="0" borderId="54" xfId="0" applyBorder="1"/>
    <xf numFmtId="0" fontId="0" fillId="0" borderId="55" xfId="0" applyBorder="1"/>
    <xf numFmtId="49" fontId="0" fillId="0" borderId="51" xfId="0" applyNumberFormat="1" applyBorder="1"/>
    <xf numFmtId="0" fontId="0" fillId="0" borderId="56" xfId="0" applyBorder="1"/>
    <xf numFmtId="0" fontId="0" fillId="0" borderId="52" xfId="0" applyBorder="1"/>
    <xf numFmtId="0" fontId="0" fillId="0" borderId="53" xfId="0" applyBorder="1"/>
    <xf numFmtId="0" fontId="0" fillId="4" borderId="57" xfId="0" applyFill="1" applyBorder="1"/>
    <xf numFmtId="0" fontId="0" fillId="5" borderId="58" xfId="0" applyFill="1" applyBorder="1"/>
    <xf numFmtId="0" fontId="0" fillId="0" borderId="59" xfId="0" applyBorder="1"/>
    <xf numFmtId="0" fontId="0" fillId="0" borderId="60" xfId="0" applyBorder="1"/>
    <xf numFmtId="0" fontId="0" fillId="5" borderId="61" xfId="0" applyFill="1" applyBorder="1"/>
    <xf numFmtId="0" fontId="0" fillId="0" borderId="62" xfId="0" applyBorder="1"/>
    <xf numFmtId="0" fontId="0" fillId="0" borderId="63" xfId="0" applyBorder="1"/>
    <xf numFmtId="49" fontId="0" fillId="0" borderId="41" xfId="0" applyNumberFormat="1" applyBorder="1"/>
    <xf numFmtId="0" fontId="0" fillId="0" borderId="42" xfId="0" applyBorder="1"/>
    <xf numFmtId="49" fontId="0" fillId="2" borderId="38" xfId="0" applyNumberFormat="1" applyFill="1" applyBorder="1"/>
    <xf numFmtId="0" fontId="0" fillId="0" borderId="38" xfId="0" applyBorder="1"/>
    <xf numFmtId="49" fontId="0" fillId="0" borderId="8" xfId="0" applyNumberFormat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2" fillId="0" borderId="7" xfId="0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15151"/>
      <rgbColor rgb="FFED7D31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2"/>
  <sheetViews>
    <sheetView showGridLines="0" tabSelected="1" topLeftCell="A39" workbookViewId="0">
      <selection activeCell="I62" sqref="I62"/>
    </sheetView>
  </sheetViews>
  <sheetFormatPr baseColWidth="10" defaultColWidth="10.6640625" defaultRowHeight="16" customHeight="1" x14ac:dyDescent="0.2"/>
  <cols>
    <col min="1" max="1" width="10.6640625" style="1" customWidth="1"/>
    <col min="2" max="2" width="15.33203125" style="1" customWidth="1"/>
    <col min="3" max="3" width="13.6640625" style="1" customWidth="1"/>
    <col min="4" max="5" width="10.6640625" style="1" customWidth="1"/>
    <col min="6" max="7" width="14.5" style="1" customWidth="1"/>
    <col min="8" max="9" width="10.6640625" style="1" customWidth="1"/>
    <col min="10" max="10" width="15.1640625" style="1" customWidth="1"/>
    <col min="11" max="11" width="12.5" style="1" customWidth="1"/>
    <col min="12" max="13" width="10.6640625" style="1" customWidth="1"/>
    <col min="14" max="14" width="24.33203125" style="1" customWidth="1"/>
    <col min="15" max="15" width="19.33203125" style="1" customWidth="1"/>
    <col min="16" max="16" width="16.33203125" style="1" customWidth="1"/>
    <col min="17" max="256" width="10.6640625" style="1" customWidth="1"/>
  </cols>
  <sheetData>
    <row r="1" spans="1:20" ht="17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7.5" customHeight="1" x14ac:dyDescent="0.2">
      <c r="A2" s="2"/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4" t="s">
        <v>0</v>
      </c>
      <c r="O2" s="5"/>
      <c r="P2" s="5"/>
      <c r="Q2" s="2"/>
      <c r="R2" s="2"/>
      <c r="S2" s="2"/>
      <c r="T2" s="2"/>
    </row>
    <row r="3" spans="1:20" ht="18" customHeight="1" x14ac:dyDescent="0.2">
      <c r="A3" s="6"/>
      <c r="B3" s="7" t="s">
        <v>1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9"/>
      <c r="J3" s="2"/>
      <c r="K3" s="2"/>
      <c r="L3" s="2"/>
      <c r="M3" s="2"/>
      <c r="N3" s="105" t="s">
        <v>54</v>
      </c>
      <c r="O3" s="10" t="s">
        <v>2</v>
      </c>
      <c r="P3" s="11" t="s">
        <v>3</v>
      </c>
      <c r="Q3" s="12"/>
      <c r="R3" s="2"/>
      <c r="S3" s="2"/>
      <c r="T3" s="2"/>
    </row>
    <row r="4" spans="1:20" ht="17.5" customHeight="1" x14ac:dyDescent="0.2">
      <c r="A4" s="6"/>
      <c r="B4" s="7" t="s">
        <v>4</v>
      </c>
      <c r="C4" s="8"/>
      <c r="D4" s="8"/>
      <c r="E4" s="8"/>
      <c r="F4" s="8"/>
      <c r="G4" s="8"/>
      <c r="H4" s="8"/>
      <c r="I4" s="9"/>
      <c r="J4" s="2"/>
      <c r="K4" s="2"/>
      <c r="L4" s="2"/>
      <c r="M4" s="13"/>
      <c r="N4" s="14" t="s">
        <v>5</v>
      </c>
      <c r="O4" s="15" t="s">
        <v>6</v>
      </c>
      <c r="P4" s="16" t="s">
        <v>7</v>
      </c>
      <c r="Q4" s="12"/>
      <c r="R4" s="2"/>
      <c r="S4" s="2"/>
      <c r="T4" s="2"/>
    </row>
    <row r="5" spans="1:20" ht="17" customHeight="1" x14ac:dyDescent="0.2">
      <c r="A5" s="6"/>
      <c r="B5" s="7" t="s">
        <v>8</v>
      </c>
      <c r="C5" s="8"/>
      <c r="D5" s="8"/>
      <c r="E5" s="8"/>
      <c r="F5" s="8"/>
      <c r="G5" s="8"/>
      <c r="H5" s="8"/>
      <c r="I5" s="9"/>
      <c r="J5" s="2"/>
      <c r="K5" s="2"/>
      <c r="L5" s="2"/>
      <c r="M5" s="13"/>
      <c r="N5" s="17" t="s">
        <v>9</v>
      </c>
      <c r="O5" s="18">
        <v>0.2</v>
      </c>
      <c r="P5" s="19"/>
      <c r="Q5" s="12"/>
      <c r="R5" s="2"/>
      <c r="S5" s="2"/>
      <c r="T5" s="2"/>
    </row>
    <row r="6" spans="1:20" ht="17" customHeight="1" x14ac:dyDescent="0.2">
      <c r="A6" s="6"/>
      <c r="B6" s="7" t="s">
        <v>10</v>
      </c>
      <c r="C6" s="8"/>
      <c r="D6" s="8"/>
      <c r="E6" s="8"/>
      <c r="F6" s="8"/>
      <c r="G6" s="8"/>
      <c r="H6" s="8"/>
      <c r="I6" s="9"/>
      <c r="J6" s="2"/>
      <c r="K6" s="2"/>
      <c r="L6" s="2"/>
      <c r="M6" s="13"/>
      <c r="N6" s="17" t="s">
        <v>11</v>
      </c>
      <c r="O6" s="18">
        <v>1.5</v>
      </c>
      <c r="P6" s="19"/>
      <c r="Q6" s="12"/>
      <c r="R6" s="2"/>
      <c r="S6" s="2"/>
      <c r="T6" s="2"/>
    </row>
    <row r="7" spans="1:20" ht="17" customHeight="1" x14ac:dyDescent="0.2">
      <c r="A7" s="6"/>
      <c r="B7" s="7" t="s">
        <v>12</v>
      </c>
      <c r="C7" s="8"/>
      <c r="D7" s="8"/>
      <c r="E7" s="8"/>
      <c r="F7" s="8"/>
      <c r="G7" s="8"/>
      <c r="H7" s="8"/>
      <c r="I7" s="9"/>
      <c r="J7" s="2"/>
      <c r="K7" s="2"/>
      <c r="L7" s="2"/>
      <c r="M7" s="13"/>
      <c r="N7" s="17" t="s">
        <v>13</v>
      </c>
      <c r="O7" s="18">
        <v>150</v>
      </c>
      <c r="P7" s="19"/>
      <c r="Q7" s="12"/>
      <c r="R7" s="2"/>
      <c r="S7" s="2"/>
      <c r="T7" s="2"/>
    </row>
    <row r="8" spans="1:20" ht="17" customHeight="1" x14ac:dyDescent="0.2">
      <c r="A8" s="2"/>
      <c r="B8" s="20"/>
      <c r="C8" s="20"/>
      <c r="D8" s="20"/>
      <c r="E8" s="20"/>
      <c r="F8" s="20"/>
      <c r="G8" s="20"/>
      <c r="H8" s="20"/>
      <c r="I8" s="2"/>
      <c r="J8" s="2"/>
      <c r="K8" s="2"/>
      <c r="L8" s="2"/>
      <c r="M8" s="13"/>
      <c r="N8" s="17" t="s">
        <v>14</v>
      </c>
      <c r="O8" s="18">
        <v>0.01</v>
      </c>
      <c r="P8" s="19"/>
      <c r="Q8" s="12"/>
      <c r="R8" s="2"/>
      <c r="S8" s="2"/>
      <c r="T8" s="2"/>
    </row>
    <row r="9" spans="1:20" ht="17" customHeight="1" x14ac:dyDescent="0.2">
      <c r="A9" s="2"/>
      <c r="B9" s="21" t="s">
        <v>15</v>
      </c>
      <c r="C9" s="3"/>
      <c r="D9" s="2"/>
      <c r="E9" s="2"/>
      <c r="F9" s="2"/>
      <c r="G9" s="2"/>
      <c r="H9" s="2"/>
      <c r="I9" s="2"/>
      <c r="J9" s="2"/>
      <c r="K9" s="2"/>
      <c r="L9" s="2"/>
      <c r="M9" s="13"/>
      <c r="N9" s="17" t="s">
        <v>16</v>
      </c>
      <c r="O9" s="18">
        <v>100</v>
      </c>
      <c r="P9" s="19"/>
      <c r="Q9" s="12"/>
      <c r="R9" s="2"/>
      <c r="S9" s="2"/>
      <c r="T9" s="2"/>
    </row>
    <row r="10" spans="1:20" ht="17" customHeight="1" x14ac:dyDescent="0.2">
      <c r="A10" s="6"/>
      <c r="B10" s="7" t="s">
        <v>17</v>
      </c>
      <c r="C10" s="7" t="s">
        <v>15</v>
      </c>
      <c r="D10" s="9"/>
      <c r="E10" s="2"/>
      <c r="F10" s="2"/>
      <c r="G10" s="2"/>
      <c r="H10" s="2"/>
      <c r="I10" s="2"/>
      <c r="J10" s="2"/>
      <c r="K10" s="2"/>
      <c r="L10" s="2"/>
      <c r="M10" s="13"/>
      <c r="N10" s="17" t="s">
        <v>18</v>
      </c>
      <c r="O10" s="18">
        <v>3</v>
      </c>
      <c r="P10" s="22">
        <v>0.75</v>
      </c>
      <c r="Q10" s="12"/>
      <c r="R10" s="2"/>
      <c r="S10" s="2"/>
      <c r="T10" s="2"/>
    </row>
    <row r="11" spans="1:20" ht="17.5" customHeight="1" x14ac:dyDescent="0.2">
      <c r="A11" s="6"/>
      <c r="B11" s="7" t="s">
        <v>19</v>
      </c>
      <c r="C11" s="8">
        <v>0.1</v>
      </c>
      <c r="D11" s="9"/>
      <c r="E11" s="2"/>
      <c r="F11" s="2"/>
      <c r="G11" s="2"/>
      <c r="H11" s="2"/>
      <c r="I11" s="2"/>
      <c r="J11" s="2"/>
      <c r="K11" s="2"/>
      <c r="L11" s="2"/>
      <c r="M11" s="13"/>
      <c r="N11" s="23" t="s">
        <v>20</v>
      </c>
      <c r="O11" s="24">
        <v>10000</v>
      </c>
      <c r="P11" s="25">
        <v>1.2</v>
      </c>
      <c r="Q11" s="12"/>
      <c r="R11" s="2"/>
      <c r="S11" s="2"/>
      <c r="T11" s="2"/>
    </row>
    <row r="12" spans="1:20" ht="17.5" customHeight="1" x14ac:dyDescent="0.2">
      <c r="A12" s="6"/>
      <c r="B12" s="7" t="s">
        <v>21</v>
      </c>
      <c r="C12" s="8">
        <v>0.01</v>
      </c>
      <c r="D12" s="9"/>
      <c r="E12" s="2"/>
      <c r="F12" s="2"/>
      <c r="G12" s="2"/>
      <c r="H12" s="2"/>
      <c r="I12" s="2"/>
      <c r="J12" s="2"/>
      <c r="K12" s="2"/>
      <c r="L12" s="2"/>
      <c r="M12" s="2"/>
      <c r="N12" s="26"/>
      <c r="O12" s="26"/>
      <c r="P12" s="26"/>
      <c r="Q12" s="2"/>
      <c r="R12" s="2"/>
      <c r="S12" s="2"/>
      <c r="T12" s="2"/>
    </row>
    <row r="13" spans="1:20" ht="17" customHeight="1" x14ac:dyDescent="0.2">
      <c r="A13" s="2"/>
      <c r="B13" s="20"/>
      <c r="C13" s="2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7" customHeight="1" x14ac:dyDescent="0.2">
      <c r="A14" s="2"/>
      <c r="B14" s="21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2"/>
      <c r="N14" s="2"/>
      <c r="O14" s="2"/>
      <c r="P14" s="2"/>
      <c r="Q14" s="2"/>
      <c r="R14" s="2"/>
      <c r="S14" s="2"/>
      <c r="T14" s="2"/>
    </row>
    <row r="15" spans="1:20" ht="17" customHeight="1" x14ac:dyDescent="0.2">
      <c r="A15" s="6"/>
      <c r="B15" s="8"/>
      <c r="C15" s="8">
        <v>1</v>
      </c>
      <c r="D15" s="8">
        <v>2</v>
      </c>
      <c r="E15" s="8">
        <v>3</v>
      </c>
      <c r="F15" s="8">
        <v>4</v>
      </c>
      <c r="G15" s="8">
        <v>5</v>
      </c>
      <c r="H15" s="8">
        <v>6</v>
      </c>
      <c r="I15" s="8">
        <v>7</v>
      </c>
      <c r="J15" s="8">
        <v>8</v>
      </c>
      <c r="K15" s="8">
        <v>9</v>
      </c>
      <c r="L15" s="8">
        <v>10</v>
      </c>
      <c r="M15" s="9"/>
      <c r="N15" s="2"/>
      <c r="O15" s="2"/>
      <c r="P15" s="2"/>
      <c r="Q15" s="2"/>
      <c r="R15" s="2"/>
      <c r="S15" s="2"/>
      <c r="T15" s="2"/>
    </row>
    <row r="16" spans="1:20" ht="17" customHeight="1" x14ac:dyDescent="0.2">
      <c r="A16" s="6"/>
      <c r="B16" s="7" t="s">
        <v>23</v>
      </c>
      <c r="C16" s="8">
        <v>0.4</v>
      </c>
      <c r="D16" s="8">
        <v>0.3</v>
      </c>
      <c r="E16" s="8">
        <v>0.4</v>
      </c>
      <c r="F16" s="8">
        <v>0.4</v>
      </c>
      <c r="G16" s="8">
        <v>0.4</v>
      </c>
      <c r="H16" s="8">
        <v>0.4</v>
      </c>
      <c r="I16" s="8">
        <v>0.4</v>
      </c>
      <c r="J16" s="8">
        <v>0.4</v>
      </c>
      <c r="K16" s="8">
        <v>0.4</v>
      </c>
      <c r="L16" s="8">
        <v>0.5</v>
      </c>
      <c r="M16" s="9"/>
      <c r="N16" s="2"/>
      <c r="O16" s="2"/>
      <c r="P16" s="2"/>
      <c r="Q16" s="2"/>
      <c r="R16" s="2"/>
      <c r="S16" s="2"/>
      <c r="T16" s="2"/>
    </row>
    <row r="17" spans="1:20" ht="17" customHeight="1" x14ac:dyDescent="0.2">
      <c r="A17" s="6"/>
      <c r="B17" s="7" t="s">
        <v>24</v>
      </c>
      <c r="C17" s="8">
        <v>0.36</v>
      </c>
      <c r="D17" s="8">
        <v>0.33</v>
      </c>
      <c r="E17" s="8">
        <v>0.33</v>
      </c>
      <c r="F17" s="8">
        <v>0.34</v>
      </c>
      <c r="G17" s="8">
        <v>0.36</v>
      </c>
      <c r="H17" s="8">
        <v>0.35</v>
      </c>
      <c r="I17" s="8">
        <v>0.35</v>
      </c>
      <c r="J17" s="8">
        <v>0.34</v>
      </c>
      <c r="K17" s="8">
        <v>0.35</v>
      </c>
      <c r="L17" s="8">
        <v>0.34</v>
      </c>
      <c r="M17" s="9"/>
      <c r="N17" s="2"/>
      <c r="O17" s="2"/>
      <c r="P17" s="2"/>
      <c r="Q17" s="2"/>
      <c r="R17" s="2"/>
      <c r="S17" s="2"/>
      <c r="T17" s="2"/>
    </row>
    <row r="18" spans="1:20" ht="17.5" customHeight="1" x14ac:dyDescent="0.2">
      <c r="A18" s="2"/>
      <c r="B18" s="20"/>
      <c r="C18" s="27">
        <f>C17-$G19</f>
        <v>1.4999999999999958E-2</v>
      </c>
      <c r="D18" s="27">
        <f t="shared" ref="C18:L18" si="0">D17-$G19</f>
        <v>-1.5000000000000013E-2</v>
      </c>
      <c r="E18" s="27">
        <f t="shared" si="0"/>
        <v>-1.5000000000000013E-2</v>
      </c>
      <c r="F18" s="27">
        <f t="shared" si="0"/>
        <v>-5.0000000000000044E-3</v>
      </c>
      <c r="G18" s="27">
        <f t="shared" si="0"/>
        <v>1.4999999999999958E-2</v>
      </c>
      <c r="H18" s="28">
        <f t="shared" si="0"/>
        <v>4.9999999999999489E-3</v>
      </c>
      <c r="I18" s="28">
        <f t="shared" si="0"/>
        <v>4.9999999999999489E-3</v>
      </c>
      <c r="J18" s="28">
        <f t="shared" si="0"/>
        <v>-5.0000000000000044E-3</v>
      </c>
      <c r="K18" s="28">
        <f t="shared" si="0"/>
        <v>4.9999999999999489E-3</v>
      </c>
      <c r="L18" s="28">
        <f t="shared" si="0"/>
        <v>-5.0000000000000044E-3</v>
      </c>
      <c r="M18" s="2"/>
      <c r="N18" s="2"/>
      <c r="O18" s="2"/>
      <c r="P18" s="2"/>
      <c r="Q18" s="2"/>
      <c r="R18" s="2"/>
      <c r="S18" s="2"/>
      <c r="T18" s="2"/>
    </row>
    <row r="19" spans="1:20" ht="17" customHeight="1" x14ac:dyDescent="0.2">
      <c r="A19" s="2"/>
      <c r="B19" s="13"/>
      <c r="C19" s="10" t="s">
        <v>25</v>
      </c>
      <c r="D19" s="29">
        <f>SUM(C16:L16)/10</f>
        <v>0.39999999999999997</v>
      </c>
      <c r="E19" s="30"/>
      <c r="F19" s="10" t="s">
        <v>26</v>
      </c>
      <c r="G19" s="29">
        <f>AVERAGE(C17:L17)</f>
        <v>0.34500000000000003</v>
      </c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7" customHeight="1" x14ac:dyDescent="0.2">
      <c r="A20" s="2"/>
      <c r="B20" s="2"/>
      <c r="C20" s="31">
        <f>C18*C18</f>
        <v>2.2499999999999875E-4</v>
      </c>
      <c r="D20" s="31">
        <f t="shared" ref="C20:L20" si="1">D18*D18</f>
        <v>2.250000000000004E-4</v>
      </c>
      <c r="E20" s="31">
        <f t="shared" si="1"/>
        <v>2.250000000000004E-4</v>
      </c>
      <c r="F20" s="31">
        <f t="shared" si="1"/>
        <v>2.5000000000000045E-5</v>
      </c>
      <c r="G20" s="31">
        <f t="shared" si="1"/>
        <v>2.2499999999999875E-4</v>
      </c>
      <c r="H20" s="32">
        <f t="shared" si="1"/>
        <v>2.499999999999949E-5</v>
      </c>
      <c r="I20" s="32">
        <f t="shared" si="1"/>
        <v>2.499999999999949E-5</v>
      </c>
      <c r="J20" s="32">
        <f t="shared" si="1"/>
        <v>2.5000000000000045E-5</v>
      </c>
      <c r="K20" s="32">
        <f t="shared" si="1"/>
        <v>2.499999999999949E-5</v>
      </c>
      <c r="L20" s="32">
        <f t="shared" si="1"/>
        <v>2.5000000000000045E-5</v>
      </c>
      <c r="M20" s="2"/>
      <c r="N20" s="2"/>
      <c r="O20" s="2"/>
      <c r="P20" s="2"/>
      <c r="Q20" s="2"/>
      <c r="R20" s="2"/>
      <c r="S20" s="2"/>
      <c r="T20" s="2"/>
    </row>
    <row r="21" spans="1:20" ht="17" customHeight="1" x14ac:dyDescent="0.2">
      <c r="A21" s="2"/>
      <c r="B21" s="2"/>
      <c r="C21" s="4" t="s">
        <v>27</v>
      </c>
      <c r="D21" s="33">
        <f>SQRT(SUM(C20:L20))/10</f>
        <v>3.2403703492039256E-3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7" customHeight="1" x14ac:dyDescent="0.2">
      <c r="A22" s="2"/>
      <c r="B22" s="2"/>
      <c r="C22" s="4" t="s">
        <v>28</v>
      </c>
      <c r="D22" s="33">
        <f>SQRT(C12*C12+D21*D21)</f>
        <v>1.0511898020814318E-2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7" customHeight="1" x14ac:dyDescent="0.2">
      <c r="A23" s="2"/>
      <c r="B23" s="2"/>
      <c r="C23" s="4" t="s">
        <v>29</v>
      </c>
      <c r="D23" s="33">
        <f>(PI()*(G19*0.01*(G19*0.01))/4)</f>
        <v>9.34820163983813E-6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7" customHeight="1" x14ac:dyDescent="0.2">
      <c r="A24" s="2"/>
      <c r="B24" s="2"/>
      <c r="C24" s="4" t="s">
        <v>30</v>
      </c>
      <c r="D24" s="33">
        <f>2*(C12/G19)*D23</f>
        <v>5.4192473274423934E-7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7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7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7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7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7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7.5" customHeight="1" x14ac:dyDescent="0.2">
      <c r="A30" s="2"/>
      <c r="B30" s="34" t="s">
        <v>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2"/>
      <c r="O30" s="2"/>
      <c r="P30" s="2"/>
      <c r="Q30" s="2"/>
      <c r="R30" s="2"/>
      <c r="S30" s="2"/>
      <c r="T30" s="2"/>
    </row>
    <row r="31" spans="1:20" ht="18" customHeight="1" x14ac:dyDescent="0.2">
      <c r="A31" s="13"/>
      <c r="B31" s="102" t="s">
        <v>32</v>
      </c>
      <c r="C31" s="103"/>
      <c r="D31" s="103"/>
      <c r="E31" s="104"/>
      <c r="F31" s="102" t="s">
        <v>33</v>
      </c>
      <c r="G31" s="103"/>
      <c r="H31" s="103"/>
      <c r="I31" s="104"/>
      <c r="J31" s="102" t="s">
        <v>34</v>
      </c>
      <c r="K31" s="103"/>
      <c r="L31" s="103"/>
      <c r="M31" s="104"/>
      <c r="N31" s="35"/>
      <c r="O31" s="36"/>
      <c r="P31" s="36"/>
      <c r="Q31" s="36"/>
      <c r="R31" s="36"/>
      <c r="S31" s="36"/>
      <c r="T31" s="36"/>
    </row>
    <row r="32" spans="1:20" ht="17" customHeight="1" x14ac:dyDescent="0.2">
      <c r="A32" s="13"/>
      <c r="B32" s="10" t="s">
        <v>35</v>
      </c>
      <c r="C32" s="37" t="s">
        <v>36</v>
      </c>
      <c r="D32" s="37" t="s">
        <v>37</v>
      </c>
      <c r="E32" s="11" t="s">
        <v>38</v>
      </c>
      <c r="F32" s="10" t="s">
        <v>35</v>
      </c>
      <c r="G32" s="37" t="s">
        <v>36</v>
      </c>
      <c r="H32" s="37" t="s">
        <v>37</v>
      </c>
      <c r="I32" s="11" t="s">
        <v>38</v>
      </c>
      <c r="J32" s="10" t="s">
        <v>35</v>
      </c>
      <c r="K32" s="37" t="s">
        <v>39</v>
      </c>
      <c r="L32" s="37" t="s">
        <v>37</v>
      </c>
      <c r="M32" s="11" t="s">
        <v>38</v>
      </c>
      <c r="N32" s="38"/>
      <c r="O32" s="4"/>
      <c r="P32" s="4"/>
      <c r="Q32" s="4"/>
      <c r="R32" s="4"/>
      <c r="S32" s="4"/>
      <c r="T32" s="4"/>
    </row>
    <row r="33" spans="1:20" ht="17" customHeight="1" x14ac:dyDescent="0.2">
      <c r="A33" s="13"/>
      <c r="B33" s="39">
        <v>30</v>
      </c>
      <c r="C33" s="40"/>
      <c r="D33" s="41">
        <f t="shared" ref="D33:D44" si="2">B33*10</f>
        <v>300</v>
      </c>
      <c r="E33" s="42">
        <v>140.66999999999999</v>
      </c>
      <c r="F33" s="39">
        <v>30</v>
      </c>
      <c r="G33" s="40"/>
      <c r="H33" s="41">
        <f t="shared" ref="H33:H44" si="3">F33*10</f>
        <v>300</v>
      </c>
      <c r="I33" s="42">
        <v>95.34</v>
      </c>
      <c r="J33" s="39">
        <v>30</v>
      </c>
      <c r="K33" s="40"/>
      <c r="L33" s="41">
        <f t="shared" ref="L33:L44" si="4">J33*10</f>
        <v>300</v>
      </c>
      <c r="M33" s="42">
        <v>57.25</v>
      </c>
      <c r="N33" s="43"/>
      <c r="O33" s="33"/>
      <c r="P33" s="33"/>
      <c r="Q33" s="33"/>
      <c r="R33" s="33"/>
      <c r="S33" s="33"/>
      <c r="T33" s="33"/>
    </row>
    <row r="34" spans="1:20" ht="17" customHeight="1" x14ac:dyDescent="0.2">
      <c r="A34" s="13"/>
      <c r="B34" s="44">
        <v>56</v>
      </c>
      <c r="C34" s="45"/>
      <c r="D34" s="8">
        <f t="shared" si="2"/>
        <v>560</v>
      </c>
      <c r="E34" s="46">
        <v>268.27</v>
      </c>
      <c r="F34" s="44">
        <v>54</v>
      </c>
      <c r="G34" s="45"/>
      <c r="H34" s="8">
        <f t="shared" si="3"/>
        <v>540</v>
      </c>
      <c r="I34" s="46">
        <v>174.57</v>
      </c>
      <c r="J34" s="44">
        <v>55</v>
      </c>
      <c r="K34" s="45"/>
      <c r="L34" s="8">
        <f t="shared" si="4"/>
        <v>550</v>
      </c>
      <c r="M34" s="46">
        <v>105.06</v>
      </c>
      <c r="N34" s="43"/>
      <c r="O34" s="33"/>
      <c r="P34" s="33"/>
      <c r="Q34" s="33"/>
      <c r="R34" s="33"/>
      <c r="S34" s="33"/>
      <c r="T34" s="33"/>
    </row>
    <row r="35" spans="1:20" ht="17" customHeight="1" x14ac:dyDescent="0.2">
      <c r="A35" s="13"/>
      <c r="B35" s="44">
        <v>72</v>
      </c>
      <c r="C35" s="45"/>
      <c r="D35" s="8">
        <f t="shared" si="2"/>
        <v>720</v>
      </c>
      <c r="E35" s="46">
        <v>345.68</v>
      </c>
      <c r="F35" s="44">
        <v>61</v>
      </c>
      <c r="G35" s="45"/>
      <c r="H35" s="8">
        <f t="shared" si="3"/>
        <v>610</v>
      </c>
      <c r="I35" s="46">
        <v>193.8</v>
      </c>
      <c r="J35" s="44">
        <v>57</v>
      </c>
      <c r="K35" s="45"/>
      <c r="L35" s="8">
        <f t="shared" si="4"/>
        <v>570</v>
      </c>
      <c r="M35" s="46">
        <v>110.27</v>
      </c>
      <c r="N35" s="43"/>
      <c r="O35" s="33"/>
      <c r="P35" s="33"/>
      <c r="Q35" s="33"/>
      <c r="R35" s="33"/>
      <c r="S35" s="33"/>
      <c r="T35" s="33"/>
    </row>
    <row r="36" spans="1:20" ht="17" customHeight="1" x14ac:dyDescent="0.2">
      <c r="A36" s="13"/>
      <c r="B36" s="44">
        <v>74</v>
      </c>
      <c r="C36" s="45"/>
      <c r="D36" s="8">
        <f t="shared" si="2"/>
        <v>740</v>
      </c>
      <c r="E36" s="46">
        <v>353.54</v>
      </c>
      <c r="F36" s="44">
        <v>86</v>
      </c>
      <c r="G36" s="45"/>
      <c r="H36" s="8">
        <f t="shared" si="3"/>
        <v>860</v>
      </c>
      <c r="I36" s="46">
        <v>274.2</v>
      </c>
      <c r="J36" s="44">
        <v>79</v>
      </c>
      <c r="K36" s="45"/>
      <c r="L36" s="8">
        <f t="shared" si="4"/>
        <v>790</v>
      </c>
      <c r="M36" s="46">
        <v>150.86000000000001</v>
      </c>
      <c r="N36" s="43"/>
      <c r="O36" s="33"/>
      <c r="P36" s="33"/>
      <c r="Q36" s="33"/>
      <c r="R36" s="33"/>
      <c r="S36" s="33"/>
      <c r="T36" s="33"/>
    </row>
    <row r="37" spans="1:20" ht="17" customHeight="1" x14ac:dyDescent="0.2">
      <c r="A37" s="13"/>
      <c r="B37" s="44">
        <v>85</v>
      </c>
      <c r="C37" s="45"/>
      <c r="D37" s="8">
        <f t="shared" si="2"/>
        <v>850</v>
      </c>
      <c r="E37" s="46">
        <v>405.3</v>
      </c>
      <c r="F37" s="44">
        <v>76</v>
      </c>
      <c r="G37" s="45"/>
      <c r="H37" s="8">
        <f t="shared" si="3"/>
        <v>760</v>
      </c>
      <c r="I37" s="46">
        <v>242.25</v>
      </c>
      <c r="J37" s="44">
        <v>83</v>
      </c>
      <c r="K37" s="45"/>
      <c r="L37" s="8">
        <f t="shared" si="4"/>
        <v>830</v>
      </c>
      <c r="M37" s="46">
        <v>159.43</v>
      </c>
      <c r="N37" s="43"/>
      <c r="O37" s="33"/>
      <c r="P37" s="33"/>
      <c r="Q37" s="33"/>
      <c r="R37" s="33"/>
      <c r="S37" s="33"/>
      <c r="T37" s="33"/>
    </row>
    <row r="38" spans="1:20" ht="17" customHeight="1" x14ac:dyDescent="0.2">
      <c r="A38" s="13"/>
      <c r="B38" s="47">
        <v>97</v>
      </c>
      <c r="C38" s="48"/>
      <c r="D38" s="49">
        <f t="shared" si="2"/>
        <v>970</v>
      </c>
      <c r="E38" s="50">
        <v>466.22</v>
      </c>
      <c r="F38" s="47">
        <v>98</v>
      </c>
      <c r="G38" s="48"/>
      <c r="H38" s="49">
        <f t="shared" si="3"/>
        <v>980</v>
      </c>
      <c r="I38" s="50">
        <v>315.37</v>
      </c>
      <c r="J38" s="47">
        <v>92</v>
      </c>
      <c r="K38" s="48"/>
      <c r="L38" s="49">
        <f t="shared" si="4"/>
        <v>920</v>
      </c>
      <c r="M38" s="50">
        <v>176.11</v>
      </c>
      <c r="N38" s="43"/>
      <c r="O38" s="33"/>
      <c r="P38" s="33"/>
      <c r="Q38" s="33"/>
      <c r="R38" s="33"/>
      <c r="S38" s="33"/>
      <c r="T38" s="33"/>
    </row>
    <row r="39" spans="1:20" ht="17" customHeight="1" x14ac:dyDescent="0.2">
      <c r="A39" s="13"/>
      <c r="B39" s="39">
        <v>77</v>
      </c>
      <c r="C39" s="40"/>
      <c r="D39" s="41">
        <f t="shared" si="2"/>
        <v>770</v>
      </c>
      <c r="E39" s="42">
        <v>371.86</v>
      </c>
      <c r="F39" s="39">
        <v>79</v>
      </c>
      <c r="G39" s="40"/>
      <c r="H39" s="41">
        <f t="shared" si="3"/>
        <v>790</v>
      </c>
      <c r="I39" s="42">
        <v>252.87</v>
      </c>
      <c r="J39" s="39">
        <v>91</v>
      </c>
      <c r="K39" s="40"/>
      <c r="L39" s="41">
        <f t="shared" si="4"/>
        <v>910</v>
      </c>
      <c r="M39" s="42">
        <v>174.3</v>
      </c>
      <c r="N39" s="43"/>
      <c r="O39" s="33"/>
      <c r="P39" s="33"/>
      <c r="Q39" s="33"/>
      <c r="R39" s="33"/>
      <c r="S39" s="33"/>
      <c r="T39" s="33"/>
    </row>
    <row r="40" spans="1:20" ht="17" customHeight="1" x14ac:dyDescent="0.2">
      <c r="A40" s="13"/>
      <c r="B40" s="44">
        <v>68</v>
      </c>
      <c r="C40" s="45"/>
      <c r="D40" s="8">
        <f t="shared" si="2"/>
        <v>680</v>
      </c>
      <c r="E40" s="46">
        <v>326.31</v>
      </c>
      <c r="F40" s="44">
        <v>61</v>
      </c>
      <c r="G40" s="45"/>
      <c r="H40" s="8">
        <f t="shared" si="3"/>
        <v>610</v>
      </c>
      <c r="I40" s="46">
        <v>196.32</v>
      </c>
      <c r="J40" s="44">
        <v>78</v>
      </c>
      <c r="K40" s="45"/>
      <c r="L40" s="8">
        <f t="shared" si="4"/>
        <v>780</v>
      </c>
      <c r="M40" s="46">
        <v>148.54</v>
      </c>
      <c r="N40" s="43"/>
      <c r="O40" s="33"/>
      <c r="P40" s="33"/>
      <c r="Q40" s="33"/>
      <c r="R40" s="33"/>
      <c r="S40" s="33"/>
      <c r="T40" s="33"/>
    </row>
    <row r="41" spans="1:20" ht="17" customHeight="1" x14ac:dyDescent="0.2">
      <c r="A41" s="13"/>
      <c r="B41" s="44">
        <v>57</v>
      </c>
      <c r="C41" s="45"/>
      <c r="D41" s="8">
        <f t="shared" si="2"/>
        <v>570</v>
      </c>
      <c r="E41" s="46">
        <v>271.3</v>
      </c>
      <c r="F41" s="44">
        <v>55</v>
      </c>
      <c r="G41" s="45"/>
      <c r="H41" s="8">
        <f t="shared" si="3"/>
        <v>550</v>
      </c>
      <c r="I41" s="46">
        <v>177.79</v>
      </c>
      <c r="J41" s="44">
        <v>64</v>
      </c>
      <c r="K41" s="45"/>
      <c r="L41" s="8">
        <f t="shared" si="4"/>
        <v>640</v>
      </c>
      <c r="M41" s="46">
        <v>122.64</v>
      </c>
      <c r="N41" s="43"/>
      <c r="O41" s="33"/>
      <c r="P41" s="33"/>
      <c r="Q41" s="33"/>
      <c r="R41" s="33"/>
      <c r="S41" s="33"/>
      <c r="T41" s="33"/>
    </row>
    <row r="42" spans="1:20" ht="17" customHeight="1" x14ac:dyDescent="0.2">
      <c r="A42" s="13"/>
      <c r="B42" s="44">
        <v>50</v>
      </c>
      <c r="C42" s="45"/>
      <c r="D42" s="8">
        <f t="shared" si="2"/>
        <v>500</v>
      </c>
      <c r="E42" s="46">
        <v>241.55</v>
      </c>
      <c r="F42" s="44">
        <v>47</v>
      </c>
      <c r="G42" s="45"/>
      <c r="H42" s="8">
        <f t="shared" si="3"/>
        <v>470</v>
      </c>
      <c r="I42" s="46">
        <v>151.28</v>
      </c>
      <c r="J42" s="44">
        <v>50</v>
      </c>
      <c r="K42" s="45"/>
      <c r="L42" s="8">
        <f t="shared" si="4"/>
        <v>500</v>
      </c>
      <c r="M42" s="46">
        <v>96.53</v>
      </c>
      <c r="N42" s="43"/>
      <c r="O42" s="33"/>
      <c r="P42" s="33"/>
      <c r="Q42" s="33"/>
      <c r="R42" s="33"/>
      <c r="S42" s="33"/>
      <c r="T42" s="33"/>
    </row>
    <row r="43" spans="1:20" ht="17" customHeight="1" x14ac:dyDescent="0.2">
      <c r="A43" s="13"/>
      <c r="B43" s="44">
        <v>42</v>
      </c>
      <c r="C43" s="45"/>
      <c r="D43" s="8">
        <f t="shared" si="2"/>
        <v>420</v>
      </c>
      <c r="E43" s="46">
        <v>201.16</v>
      </c>
      <c r="F43" s="44">
        <v>37</v>
      </c>
      <c r="G43" s="45"/>
      <c r="H43" s="8">
        <f t="shared" si="3"/>
        <v>370</v>
      </c>
      <c r="I43" s="46">
        <v>117.92</v>
      </c>
      <c r="J43" s="44">
        <v>39</v>
      </c>
      <c r="K43" s="45"/>
      <c r="L43" s="8">
        <f t="shared" si="4"/>
        <v>390</v>
      </c>
      <c r="M43" s="46">
        <v>74.75</v>
      </c>
      <c r="N43" s="43"/>
      <c r="O43" s="33"/>
      <c r="P43" s="33"/>
      <c r="Q43" s="33"/>
      <c r="R43" s="33"/>
      <c r="S43" s="33"/>
      <c r="T43" s="33"/>
    </row>
    <row r="44" spans="1:20" ht="17" customHeight="1" x14ac:dyDescent="0.2">
      <c r="A44" s="13"/>
      <c r="B44" s="47">
        <v>33</v>
      </c>
      <c r="C44" s="48"/>
      <c r="D44" s="49">
        <f t="shared" si="2"/>
        <v>330</v>
      </c>
      <c r="E44" s="50">
        <v>161.18</v>
      </c>
      <c r="F44" s="47">
        <v>25</v>
      </c>
      <c r="G44" s="48"/>
      <c r="H44" s="49">
        <f t="shared" si="3"/>
        <v>250</v>
      </c>
      <c r="I44" s="50">
        <v>80.25</v>
      </c>
      <c r="J44" s="47">
        <v>27</v>
      </c>
      <c r="K44" s="48"/>
      <c r="L44" s="49">
        <f t="shared" si="4"/>
        <v>270</v>
      </c>
      <c r="M44" s="50">
        <v>50.4</v>
      </c>
      <c r="N44" s="43"/>
      <c r="O44" s="33"/>
      <c r="P44" s="33"/>
      <c r="Q44" s="33"/>
      <c r="R44" s="33"/>
      <c r="S44" s="33"/>
      <c r="T44" s="33"/>
    </row>
    <row r="45" spans="1:20" ht="17" customHeight="1" x14ac:dyDescent="0.2">
      <c r="A45" s="6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2"/>
      <c r="N45" s="2"/>
      <c r="O45" s="2"/>
      <c r="P45" s="2"/>
      <c r="Q45" s="2"/>
      <c r="R45" s="2"/>
      <c r="S45" s="2"/>
      <c r="T45" s="2"/>
    </row>
    <row r="46" spans="1:20" ht="17" customHeight="1" x14ac:dyDescent="0.2">
      <c r="A46" s="53"/>
      <c r="B46" s="54"/>
      <c r="C46" s="54"/>
      <c r="D46" s="54"/>
      <c r="E46" s="54"/>
      <c r="F46" s="54"/>
      <c r="G46" s="54"/>
      <c r="H46" s="55"/>
      <c r="I46" s="100" t="s">
        <v>40</v>
      </c>
      <c r="J46" s="101"/>
      <c r="K46" s="55"/>
      <c r="L46" s="55"/>
      <c r="M46" s="55"/>
      <c r="N46" s="55"/>
      <c r="O46" s="55"/>
      <c r="P46" s="55"/>
      <c r="Q46" s="55"/>
      <c r="R46" s="55"/>
      <c r="S46" s="55"/>
      <c r="T46" s="56"/>
    </row>
    <row r="47" spans="1:20" ht="17" customHeight="1" x14ac:dyDescent="0.2">
      <c r="A47" s="57"/>
      <c r="B47" s="98" t="s">
        <v>32</v>
      </c>
      <c r="C47" s="99"/>
      <c r="D47" s="98" t="s">
        <v>33</v>
      </c>
      <c r="E47" s="99"/>
      <c r="F47" s="98" t="s">
        <v>34</v>
      </c>
      <c r="G47" s="99"/>
      <c r="H47" s="59"/>
      <c r="I47" s="60">
        <f t="shared" ref="I47:I58" si="5">D33*E33</f>
        <v>42200.999999999993</v>
      </c>
      <c r="J47" s="60">
        <f t="shared" ref="J47:J58" si="6">(E33*E33)</f>
        <v>19788.048899999998</v>
      </c>
      <c r="K47" s="60">
        <f t="shared" ref="K47:K58" si="7">H33*I33</f>
        <v>28602</v>
      </c>
      <c r="L47" s="60">
        <f t="shared" ref="L47:L58" si="8">I33*I33</f>
        <v>9089.7156000000014</v>
      </c>
      <c r="M47" s="60">
        <f t="shared" ref="M47:M58" si="9">L33*M33</f>
        <v>17175</v>
      </c>
      <c r="N47" s="60">
        <f t="shared" ref="N47:N58" si="10">M33*M33</f>
        <v>3277.5625</v>
      </c>
      <c r="O47" s="60">
        <f t="shared" ref="O47:O58" si="11">D33*D33</f>
        <v>90000</v>
      </c>
      <c r="P47" s="60">
        <f t="shared" ref="P47:P58" si="12">E33*E33</f>
        <v>19788.048899999998</v>
      </c>
      <c r="Q47" s="60">
        <f t="shared" ref="Q47:Q58" si="13">H33*H33</f>
        <v>90000</v>
      </c>
      <c r="R47" s="60">
        <f t="shared" ref="R47:R58" si="14">I33*I33</f>
        <v>9089.7156000000014</v>
      </c>
      <c r="S47" s="60">
        <f t="shared" ref="S47:S58" si="15">L33*L33</f>
        <v>90000</v>
      </c>
      <c r="T47" s="61">
        <f t="shared" ref="T47:T58" si="16">M33*M33</f>
        <v>3277.5625</v>
      </c>
    </row>
    <row r="48" spans="1:20" ht="17" customHeight="1" x14ac:dyDescent="0.2">
      <c r="A48" s="57"/>
      <c r="B48" s="62" t="s">
        <v>41</v>
      </c>
      <c r="C48" s="63">
        <v>2.06</v>
      </c>
      <c r="D48" s="62" t="s">
        <v>41</v>
      </c>
      <c r="E48" s="63">
        <v>3.09</v>
      </c>
      <c r="F48" s="62" t="s">
        <v>41</v>
      </c>
      <c r="G48" s="63">
        <v>5.1609999999999996</v>
      </c>
      <c r="H48" s="59"/>
      <c r="I48" s="60">
        <f t="shared" si="5"/>
        <v>150231.19999999998</v>
      </c>
      <c r="J48" s="60">
        <f t="shared" si="6"/>
        <v>71968.792899999986</v>
      </c>
      <c r="K48" s="60">
        <f t="shared" si="7"/>
        <v>94267.8</v>
      </c>
      <c r="L48" s="60">
        <f t="shared" si="8"/>
        <v>30474.684899999997</v>
      </c>
      <c r="M48" s="60">
        <f t="shared" si="9"/>
        <v>57783</v>
      </c>
      <c r="N48" s="60">
        <f t="shared" si="10"/>
        <v>11037.6036</v>
      </c>
      <c r="O48" s="60">
        <f t="shared" si="11"/>
        <v>313600</v>
      </c>
      <c r="P48" s="60">
        <f t="shared" si="12"/>
        <v>71968.792899999986</v>
      </c>
      <c r="Q48" s="60">
        <f t="shared" si="13"/>
        <v>291600</v>
      </c>
      <c r="R48" s="60">
        <f t="shared" si="14"/>
        <v>30474.684899999997</v>
      </c>
      <c r="S48" s="60">
        <f t="shared" si="15"/>
        <v>302500</v>
      </c>
      <c r="T48" s="61">
        <f t="shared" si="16"/>
        <v>11037.6036</v>
      </c>
    </row>
    <row r="49" spans="1:20" ht="17" customHeight="1" x14ac:dyDescent="0.2">
      <c r="A49" s="57"/>
      <c r="B49" s="64" t="s">
        <v>42</v>
      </c>
      <c r="C49" s="65">
        <f>J60</f>
        <v>2.0852247524847378</v>
      </c>
      <c r="D49" s="64" t="s">
        <v>42</v>
      </c>
      <c r="E49" s="65">
        <f>L60</f>
        <v>3.1206369466740131</v>
      </c>
      <c r="F49" s="64" t="s">
        <v>42</v>
      </c>
      <c r="G49" s="65">
        <f>N60</f>
        <v>5.2221637862988661</v>
      </c>
      <c r="H49" s="59"/>
      <c r="I49" s="60">
        <f t="shared" si="5"/>
        <v>248889.60000000001</v>
      </c>
      <c r="J49" s="60">
        <f t="shared" si="6"/>
        <v>119494.6624</v>
      </c>
      <c r="K49" s="60">
        <f t="shared" si="7"/>
        <v>118218</v>
      </c>
      <c r="L49" s="60">
        <f t="shared" si="8"/>
        <v>37558.44</v>
      </c>
      <c r="M49" s="60">
        <f t="shared" si="9"/>
        <v>62853.899999999994</v>
      </c>
      <c r="N49" s="60">
        <f t="shared" si="10"/>
        <v>12159.472899999999</v>
      </c>
      <c r="O49" s="60">
        <f t="shared" si="11"/>
        <v>518400</v>
      </c>
      <c r="P49" s="60">
        <f t="shared" si="12"/>
        <v>119494.6624</v>
      </c>
      <c r="Q49" s="60">
        <f t="shared" si="13"/>
        <v>372100</v>
      </c>
      <c r="R49" s="60">
        <f t="shared" si="14"/>
        <v>37558.44</v>
      </c>
      <c r="S49" s="60">
        <f t="shared" si="15"/>
        <v>324900</v>
      </c>
      <c r="T49" s="61">
        <f t="shared" si="16"/>
        <v>12159.472899999999</v>
      </c>
    </row>
    <row r="50" spans="1:20" ht="17" customHeight="1" x14ac:dyDescent="0.2">
      <c r="A50" s="57"/>
      <c r="B50" s="64" t="s">
        <v>43</v>
      </c>
      <c r="C50" s="65">
        <f>C49+(C49*C49)/O11</f>
        <v>2.0856595687115753</v>
      </c>
      <c r="D50" s="64" t="s">
        <v>43</v>
      </c>
      <c r="E50" s="65">
        <f>E49+(E49*E49)/O11</f>
        <v>3.1216107841693077</v>
      </c>
      <c r="F50" s="64" t="s">
        <v>43</v>
      </c>
      <c r="G50" s="65">
        <f>G49+(G49*G49)/O11</f>
        <v>5.224890885759959</v>
      </c>
      <c r="H50" s="59"/>
      <c r="I50" s="60">
        <f t="shared" si="5"/>
        <v>261619.6</v>
      </c>
      <c r="J50" s="60">
        <f t="shared" si="6"/>
        <v>124990.53160000002</v>
      </c>
      <c r="K50" s="60">
        <f t="shared" si="7"/>
        <v>235812</v>
      </c>
      <c r="L50" s="60">
        <f t="shared" si="8"/>
        <v>75185.64</v>
      </c>
      <c r="M50" s="60">
        <f t="shared" si="9"/>
        <v>119179.40000000001</v>
      </c>
      <c r="N50" s="60">
        <f t="shared" si="10"/>
        <v>22758.739600000004</v>
      </c>
      <c r="O50" s="60">
        <f t="shared" si="11"/>
        <v>547600</v>
      </c>
      <c r="P50" s="60">
        <f t="shared" si="12"/>
        <v>124990.53160000002</v>
      </c>
      <c r="Q50" s="60">
        <f t="shared" si="13"/>
        <v>739600</v>
      </c>
      <c r="R50" s="60">
        <f t="shared" si="14"/>
        <v>75185.64</v>
      </c>
      <c r="S50" s="60">
        <f t="shared" si="15"/>
        <v>624100</v>
      </c>
      <c r="T50" s="61">
        <f t="shared" si="16"/>
        <v>22758.739600000004</v>
      </c>
    </row>
    <row r="51" spans="1:20" ht="17" customHeight="1" x14ac:dyDescent="0.2">
      <c r="A51" s="57"/>
      <c r="B51" s="64" t="s">
        <v>44</v>
      </c>
      <c r="C51" s="65">
        <f>P60</f>
        <v>3.599041460087226E-3</v>
      </c>
      <c r="D51" s="64" t="s">
        <v>44</v>
      </c>
      <c r="E51" s="65">
        <f>R60</f>
        <v>5.0265026449720389E-3</v>
      </c>
      <c r="F51" s="64" t="s">
        <v>44</v>
      </c>
      <c r="G51" s="65">
        <f>T60</f>
        <v>7.5538598018458558E-3</v>
      </c>
      <c r="H51" s="59"/>
      <c r="I51" s="60">
        <f t="shared" si="5"/>
        <v>344505</v>
      </c>
      <c r="J51" s="60">
        <f t="shared" si="6"/>
        <v>164268.09</v>
      </c>
      <c r="K51" s="60">
        <f t="shared" si="7"/>
        <v>184110</v>
      </c>
      <c r="L51" s="60">
        <f t="shared" si="8"/>
        <v>58685.0625</v>
      </c>
      <c r="M51" s="60">
        <f t="shared" si="9"/>
        <v>132326.9</v>
      </c>
      <c r="N51" s="60">
        <f t="shared" si="10"/>
        <v>25417.924900000002</v>
      </c>
      <c r="O51" s="60">
        <f t="shared" si="11"/>
        <v>722500</v>
      </c>
      <c r="P51" s="60">
        <f t="shared" si="12"/>
        <v>164268.09</v>
      </c>
      <c r="Q51" s="60">
        <f t="shared" si="13"/>
        <v>577600</v>
      </c>
      <c r="R51" s="60">
        <f t="shared" si="14"/>
        <v>58685.0625</v>
      </c>
      <c r="S51" s="60">
        <f t="shared" si="15"/>
        <v>688900</v>
      </c>
      <c r="T51" s="61">
        <f t="shared" si="16"/>
        <v>25417.924900000002</v>
      </c>
    </row>
    <row r="52" spans="1:20" ht="17" customHeight="1" x14ac:dyDescent="0.2">
      <c r="A52" s="57"/>
      <c r="B52" s="64" t="s">
        <v>45</v>
      </c>
      <c r="C52" s="65">
        <f>SQRT(($O$10/2/MAX(D33:D44))*($O$10/2/MAX(D33:D44))+($P$10/2/MAX(E33:E44))*($P$10/2/MAX(E33:E44)))*C49</f>
        <v>3.6346923213359918E-3</v>
      </c>
      <c r="D52" s="64" t="s">
        <v>45</v>
      </c>
      <c r="E52" s="65">
        <f>SQRT(($O$10/2/MAX(H33:H44))*($O$10/2/MAX(H33:H44))+($P$10/2/MAX(I33:I44))*($P$10/2/MAX(I33:I44)))*E49</f>
        <v>6.0484705729946155E-3</v>
      </c>
      <c r="F52" s="64" t="s">
        <v>45</v>
      </c>
      <c r="G52" s="65">
        <f>SQRT(($O$10/2/MAX(L33:L44))*($O$10/2/MAX(L33:L44))+($P$10/2/MAX(M33:M44))*($P$10/2/MAX(M33:M44)))*G49</f>
        <v>1.400519014846697E-2</v>
      </c>
      <c r="H52" s="59"/>
      <c r="I52" s="60">
        <f t="shared" si="5"/>
        <v>452233.4</v>
      </c>
      <c r="J52" s="60">
        <f t="shared" si="6"/>
        <v>217361.08840000004</v>
      </c>
      <c r="K52" s="60">
        <f t="shared" si="7"/>
        <v>309062.59999999998</v>
      </c>
      <c r="L52" s="60">
        <f t="shared" si="8"/>
        <v>99458.236900000004</v>
      </c>
      <c r="M52" s="60">
        <f t="shared" si="9"/>
        <v>162021.20000000001</v>
      </c>
      <c r="N52" s="60">
        <f t="shared" si="10"/>
        <v>31014.732100000005</v>
      </c>
      <c r="O52" s="60">
        <f t="shared" si="11"/>
        <v>940900</v>
      </c>
      <c r="P52" s="60">
        <f t="shared" si="12"/>
        <v>217361.08840000004</v>
      </c>
      <c r="Q52" s="60">
        <f t="shared" si="13"/>
        <v>960400</v>
      </c>
      <c r="R52" s="60">
        <f t="shared" si="14"/>
        <v>99458.236900000004</v>
      </c>
      <c r="S52" s="60">
        <f t="shared" si="15"/>
        <v>846400</v>
      </c>
      <c r="T52" s="61">
        <f t="shared" si="16"/>
        <v>31014.732100000005</v>
      </c>
    </row>
    <row r="53" spans="1:20" ht="17" customHeight="1" x14ac:dyDescent="0.2">
      <c r="A53" s="57"/>
      <c r="B53" s="66" t="s">
        <v>46</v>
      </c>
      <c r="C53" s="67">
        <f>SQRT(C51*C51+C52*C52)</f>
        <v>5.1150843299212195E-3</v>
      </c>
      <c r="D53" s="66" t="s">
        <v>46</v>
      </c>
      <c r="E53" s="67">
        <f>SQRT(E51*E51+E52*E52)</f>
        <v>7.8644596198526387E-3</v>
      </c>
      <c r="F53" s="66" t="s">
        <v>46</v>
      </c>
      <c r="G53" s="67">
        <f>SQRT(G51*G51+G52*G52)</f>
        <v>1.5912452639384633E-2</v>
      </c>
      <c r="H53" s="59"/>
      <c r="I53" s="60">
        <f t="shared" si="5"/>
        <v>286332.2</v>
      </c>
      <c r="J53" s="60">
        <f t="shared" si="6"/>
        <v>138279.8596</v>
      </c>
      <c r="K53" s="60">
        <f t="shared" si="7"/>
        <v>199767.30000000002</v>
      </c>
      <c r="L53" s="60">
        <f t="shared" si="8"/>
        <v>63943.236900000004</v>
      </c>
      <c r="M53" s="60">
        <f t="shared" si="9"/>
        <v>158613</v>
      </c>
      <c r="N53" s="60">
        <f t="shared" si="10"/>
        <v>30380.490000000005</v>
      </c>
      <c r="O53" s="60">
        <f t="shared" si="11"/>
        <v>592900</v>
      </c>
      <c r="P53" s="60">
        <f t="shared" si="12"/>
        <v>138279.8596</v>
      </c>
      <c r="Q53" s="60">
        <f t="shared" si="13"/>
        <v>624100</v>
      </c>
      <c r="R53" s="60">
        <f t="shared" si="14"/>
        <v>63943.236900000004</v>
      </c>
      <c r="S53" s="60">
        <f t="shared" si="15"/>
        <v>828100</v>
      </c>
      <c r="T53" s="61">
        <f t="shared" si="16"/>
        <v>30380.490000000005</v>
      </c>
    </row>
    <row r="54" spans="1:20" ht="17" customHeight="1" x14ac:dyDescent="0.2">
      <c r="A54" s="68"/>
      <c r="B54" s="69"/>
      <c r="C54" s="70"/>
      <c r="D54" s="70"/>
      <c r="E54" s="70"/>
      <c r="F54" s="71"/>
      <c r="G54" s="72"/>
      <c r="H54" s="73"/>
      <c r="I54" s="60">
        <f t="shared" si="5"/>
        <v>221890.8</v>
      </c>
      <c r="J54" s="60">
        <f t="shared" si="6"/>
        <v>106478.21610000001</v>
      </c>
      <c r="K54" s="60">
        <f t="shared" si="7"/>
        <v>119755.2</v>
      </c>
      <c r="L54" s="60">
        <f t="shared" si="8"/>
        <v>38541.542399999998</v>
      </c>
      <c r="M54" s="60">
        <f t="shared" si="9"/>
        <v>115861.2</v>
      </c>
      <c r="N54" s="60">
        <f t="shared" si="10"/>
        <v>22064.131599999997</v>
      </c>
      <c r="O54" s="60">
        <f t="shared" si="11"/>
        <v>462400</v>
      </c>
      <c r="P54" s="60">
        <f t="shared" si="12"/>
        <v>106478.21610000001</v>
      </c>
      <c r="Q54" s="60">
        <f t="shared" si="13"/>
        <v>372100</v>
      </c>
      <c r="R54" s="60">
        <f t="shared" si="14"/>
        <v>38541.542399999998</v>
      </c>
      <c r="S54" s="60">
        <f t="shared" si="15"/>
        <v>608400</v>
      </c>
      <c r="T54" s="61">
        <f t="shared" si="16"/>
        <v>22064.131599999997</v>
      </c>
    </row>
    <row r="55" spans="1:20" ht="17" customHeight="1" x14ac:dyDescent="0.2">
      <c r="A55" s="57"/>
      <c r="B55" s="74" t="s">
        <v>47</v>
      </c>
      <c r="C55" s="75">
        <v>20</v>
      </c>
      <c r="D55" s="76">
        <v>30</v>
      </c>
      <c r="E55" s="77">
        <v>50</v>
      </c>
      <c r="F55" s="59"/>
      <c r="G55" s="73"/>
      <c r="H55" s="73"/>
      <c r="I55" s="60">
        <f t="shared" si="5"/>
        <v>154641</v>
      </c>
      <c r="J55" s="60">
        <f t="shared" si="6"/>
        <v>73603.69</v>
      </c>
      <c r="K55" s="60">
        <f t="shared" si="7"/>
        <v>97784.5</v>
      </c>
      <c r="L55" s="60">
        <f t="shared" si="8"/>
        <v>31609.284099999997</v>
      </c>
      <c r="M55" s="60">
        <f t="shared" si="9"/>
        <v>78489.600000000006</v>
      </c>
      <c r="N55" s="60">
        <f t="shared" si="10"/>
        <v>15040.569600000001</v>
      </c>
      <c r="O55" s="60">
        <f t="shared" si="11"/>
        <v>324900</v>
      </c>
      <c r="P55" s="60">
        <f t="shared" si="12"/>
        <v>73603.69</v>
      </c>
      <c r="Q55" s="60">
        <f t="shared" si="13"/>
        <v>302500</v>
      </c>
      <c r="R55" s="60">
        <f t="shared" si="14"/>
        <v>31609.284099999997</v>
      </c>
      <c r="S55" s="60">
        <f t="shared" si="15"/>
        <v>409600</v>
      </c>
      <c r="T55" s="61">
        <f t="shared" si="16"/>
        <v>15040.569600000001</v>
      </c>
    </row>
    <row r="56" spans="1:20" ht="17" customHeight="1" x14ac:dyDescent="0.2">
      <c r="A56" s="57"/>
      <c r="B56" s="62" t="s">
        <v>48</v>
      </c>
      <c r="C56" s="39">
        <f>C49</f>
        <v>2.0852247524847378</v>
      </c>
      <c r="D56" s="41">
        <f>E49</f>
        <v>3.1206369466740131</v>
      </c>
      <c r="E56" s="42">
        <f>G49</f>
        <v>5.2221637862988661</v>
      </c>
      <c r="F56" s="59"/>
      <c r="G56" s="73"/>
      <c r="H56" s="73"/>
      <c r="I56" s="60">
        <f t="shared" si="5"/>
        <v>120775</v>
      </c>
      <c r="J56" s="60">
        <f t="shared" si="6"/>
        <v>58346.402500000004</v>
      </c>
      <c r="K56" s="60">
        <f t="shared" si="7"/>
        <v>71101.600000000006</v>
      </c>
      <c r="L56" s="60">
        <f t="shared" si="8"/>
        <v>22885.6384</v>
      </c>
      <c r="M56" s="60">
        <f t="shared" si="9"/>
        <v>48265</v>
      </c>
      <c r="N56" s="60">
        <f t="shared" si="10"/>
        <v>9318.0409</v>
      </c>
      <c r="O56" s="60">
        <f t="shared" si="11"/>
        <v>250000</v>
      </c>
      <c r="P56" s="60">
        <f t="shared" si="12"/>
        <v>58346.402500000004</v>
      </c>
      <c r="Q56" s="60">
        <f t="shared" si="13"/>
        <v>220900</v>
      </c>
      <c r="R56" s="60">
        <f t="shared" si="14"/>
        <v>22885.6384</v>
      </c>
      <c r="S56" s="60">
        <f t="shared" si="15"/>
        <v>250000</v>
      </c>
      <c r="T56" s="61">
        <f t="shared" si="16"/>
        <v>9318.0409</v>
      </c>
    </row>
    <row r="57" spans="1:20" ht="17" customHeight="1" x14ac:dyDescent="0.2">
      <c r="A57" s="57"/>
      <c r="B57" s="66" t="s">
        <v>49</v>
      </c>
      <c r="C57" s="47">
        <f>C53</f>
        <v>5.1150843299212195E-3</v>
      </c>
      <c r="D57" s="49">
        <f>E53</f>
        <v>7.8644596198526387E-3</v>
      </c>
      <c r="E57" s="50">
        <f>G53</f>
        <v>1.5912452639384633E-2</v>
      </c>
      <c r="F57" s="59"/>
      <c r="G57" s="73"/>
      <c r="H57" s="73"/>
      <c r="I57" s="60">
        <f t="shared" si="5"/>
        <v>84487.2</v>
      </c>
      <c r="J57" s="60">
        <f t="shared" si="6"/>
        <v>40465.345600000001</v>
      </c>
      <c r="K57" s="60">
        <f t="shared" si="7"/>
        <v>43630.400000000001</v>
      </c>
      <c r="L57" s="60">
        <f t="shared" si="8"/>
        <v>13905.126400000001</v>
      </c>
      <c r="M57" s="60">
        <f t="shared" si="9"/>
        <v>29152.5</v>
      </c>
      <c r="N57" s="60">
        <f t="shared" si="10"/>
        <v>5587.5625</v>
      </c>
      <c r="O57" s="60">
        <f t="shared" si="11"/>
        <v>176400</v>
      </c>
      <c r="P57" s="60">
        <f t="shared" si="12"/>
        <v>40465.345600000001</v>
      </c>
      <c r="Q57" s="60">
        <f t="shared" si="13"/>
        <v>136900</v>
      </c>
      <c r="R57" s="60">
        <f t="shared" si="14"/>
        <v>13905.126400000001</v>
      </c>
      <c r="S57" s="60">
        <f t="shared" si="15"/>
        <v>152100</v>
      </c>
      <c r="T57" s="61">
        <f t="shared" si="16"/>
        <v>5587.5625</v>
      </c>
    </row>
    <row r="58" spans="1:20" ht="17" customHeight="1" x14ac:dyDescent="0.2">
      <c r="A58" s="68"/>
      <c r="B58" s="78"/>
      <c r="C58" s="78"/>
      <c r="D58" s="78"/>
      <c r="E58" s="79"/>
      <c r="F58" s="73"/>
      <c r="G58" s="73"/>
      <c r="H58" s="73"/>
      <c r="I58" s="60">
        <f t="shared" si="5"/>
        <v>53189.4</v>
      </c>
      <c r="J58" s="60">
        <f t="shared" si="6"/>
        <v>25978.992400000003</v>
      </c>
      <c r="K58" s="60">
        <f t="shared" si="7"/>
        <v>20062.5</v>
      </c>
      <c r="L58" s="60">
        <f t="shared" si="8"/>
        <v>6440.0625</v>
      </c>
      <c r="M58" s="60">
        <f t="shared" si="9"/>
        <v>13608</v>
      </c>
      <c r="N58" s="60">
        <f t="shared" si="10"/>
        <v>2540.16</v>
      </c>
      <c r="O58" s="60">
        <f t="shared" si="11"/>
        <v>108900</v>
      </c>
      <c r="P58" s="60">
        <f t="shared" si="12"/>
        <v>25978.992400000003</v>
      </c>
      <c r="Q58" s="60">
        <f t="shared" si="13"/>
        <v>62500</v>
      </c>
      <c r="R58" s="60">
        <f t="shared" si="14"/>
        <v>6440.0625</v>
      </c>
      <c r="S58" s="60">
        <f t="shared" si="15"/>
        <v>72900</v>
      </c>
      <c r="T58" s="61">
        <f t="shared" si="16"/>
        <v>2540.16</v>
      </c>
    </row>
    <row r="59" spans="1:20" ht="17" customHeight="1" x14ac:dyDescent="0.2">
      <c r="A59" s="57"/>
      <c r="B59" s="74" t="s">
        <v>47</v>
      </c>
      <c r="C59" s="58" t="s">
        <v>50</v>
      </c>
      <c r="D59" s="80" t="s">
        <v>51</v>
      </c>
      <c r="E59" s="59"/>
      <c r="F59" s="73"/>
      <c r="G59" s="73"/>
      <c r="H59" s="73"/>
      <c r="I59" s="60">
        <f t="shared" ref="I59:T59" si="17">AVERAGE(I47:I58)</f>
        <v>201749.61666666667</v>
      </c>
      <c r="J59" s="60">
        <f t="shared" si="17"/>
        <v>96751.976700000014</v>
      </c>
      <c r="K59" s="60">
        <f t="shared" si="17"/>
        <v>126847.825</v>
      </c>
      <c r="L59" s="60">
        <f t="shared" si="17"/>
        <v>40648.055883333334</v>
      </c>
      <c r="M59" s="60">
        <f t="shared" si="17"/>
        <v>82944.05833333332</v>
      </c>
      <c r="N59" s="60">
        <f t="shared" si="17"/>
        <v>15883.082516666667</v>
      </c>
      <c r="O59" s="60">
        <f t="shared" si="17"/>
        <v>420708.33333333331</v>
      </c>
      <c r="P59" s="60">
        <f t="shared" si="17"/>
        <v>96751.976700000014</v>
      </c>
      <c r="Q59" s="60">
        <f t="shared" si="17"/>
        <v>395858.33333333331</v>
      </c>
      <c r="R59" s="60">
        <f t="shared" si="17"/>
        <v>40648.055883333334</v>
      </c>
      <c r="S59" s="60">
        <f t="shared" si="17"/>
        <v>433158.33333333331</v>
      </c>
      <c r="T59" s="61">
        <f t="shared" si="17"/>
        <v>15883.082516666667</v>
      </c>
    </row>
    <row r="60" spans="1:20" ht="17" customHeight="1" x14ac:dyDescent="0.2">
      <c r="A60" s="57"/>
      <c r="B60" s="63">
        <v>20</v>
      </c>
      <c r="C60" s="39">
        <f>(C50/B60)*(PI()*$G$19*$G$19/4)*100</f>
        <v>0.97485831001868173</v>
      </c>
      <c r="D60" s="42">
        <f>SQRT((C57/C56)*(C57/C56)+(2*$D$22/$G$19)*(2*$D$22/$G$19)+(0.1/B60)*(0.1/B60))*100</f>
        <v>6.1192506411839132</v>
      </c>
      <c r="E60" s="59"/>
      <c r="F60" s="73"/>
      <c r="G60" s="73"/>
      <c r="H60" s="73"/>
      <c r="I60" s="81"/>
      <c r="J60" s="60">
        <f>I59/J59</f>
        <v>2.0852247524847378</v>
      </c>
      <c r="K60" s="81"/>
      <c r="L60" s="60">
        <f>K59/L59</f>
        <v>3.1206369466740131</v>
      </c>
      <c r="M60" s="81"/>
      <c r="N60" s="60">
        <f>M59/N59</f>
        <v>5.2221637862988661</v>
      </c>
      <c r="O60" s="60"/>
      <c r="P60" s="60">
        <f>1/SQRT(12)*SQRT(O59/P59-J60*J60)</f>
        <v>3.599041460087226E-3</v>
      </c>
      <c r="Q60" s="82"/>
      <c r="R60" s="82">
        <f>1/SQRT(12)*SQRT(Q59/R59-L60*L60)</f>
        <v>5.0265026449720389E-3</v>
      </c>
      <c r="S60" s="82"/>
      <c r="T60" s="83">
        <f>1/SQRT(12)*SQRT(S59/T59-N60*N60)</f>
        <v>7.5538598018458558E-3</v>
      </c>
    </row>
    <row r="61" spans="1:20" ht="17" customHeight="1" x14ac:dyDescent="0.2">
      <c r="A61" s="57"/>
      <c r="B61" s="65">
        <v>30</v>
      </c>
      <c r="C61" s="44">
        <f>(E50/B61)*(PI()*$G$19*$G$19/4)*100</f>
        <v>0.97271490171693054</v>
      </c>
      <c r="D61" s="46">
        <f>SQRT((C57/C56)*(C57/C56)+(2*$D$22/$G$19)*(2*$D$22/$G$19)+(0.1/B61)*(0.1/B61))*100</f>
        <v>6.1078915773563667</v>
      </c>
      <c r="E61" s="59"/>
      <c r="F61" s="84"/>
      <c r="G61" s="84"/>
      <c r="H61" s="84"/>
      <c r="I61" s="84"/>
      <c r="J61" s="73"/>
      <c r="K61" s="73"/>
      <c r="L61" s="73"/>
      <c r="M61" s="73"/>
      <c r="N61" s="73"/>
      <c r="O61" s="73"/>
      <c r="P61" s="73"/>
      <c r="Q61" s="55"/>
      <c r="R61" s="55"/>
      <c r="S61" s="55"/>
      <c r="T61" s="56"/>
    </row>
    <row r="62" spans="1:20" ht="17" customHeight="1" x14ac:dyDescent="0.2">
      <c r="A62" s="85"/>
      <c r="B62" s="67">
        <v>50</v>
      </c>
      <c r="C62" s="47">
        <f>(G50/B62)*(PI()*$G$19*$G$19/4)*100</f>
        <v>0.97686667092473112</v>
      </c>
      <c r="D62" s="50">
        <f>SQRT((C57/C56)*(C57/C56)+(2*$D$22/$G$19)*(2*$D$22/$G$19)+(0.1/B62)*(0.1/B62))*100</f>
        <v>6.1020675520375667</v>
      </c>
      <c r="E62" s="86"/>
      <c r="F62" s="58" t="s">
        <v>52</v>
      </c>
      <c r="G62" s="76">
        <f>AVERAGE(C60:C62)</f>
        <v>0.97481329422011453</v>
      </c>
      <c r="H62" s="87" t="s">
        <v>53</v>
      </c>
      <c r="I62" s="77">
        <f>AVERAGE(D60:D62)</f>
        <v>6.1097365901926155</v>
      </c>
      <c r="J62" s="88"/>
      <c r="K62" s="89"/>
      <c r="L62" s="89"/>
      <c r="M62" s="89"/>
      <c r="N62" s="89"/>
      <c r="O62" s="89"/>
      <c r="P62" s="89"/>
      <c r="Q62" s="89"/>
      <c r="R62" s="89"/>
      <c r="S62" s="89"/>
      <c r="T62" s="90"/>
    </row>
  </sheetData>
  <mergeCells count="7">
    <mergeCell ref="D47:E47"/>
    <mergeCell ref="I46:J46"/>
    <mergeCell ref="F47:G47"/>
    <mergeCell ref="J31:M31"/>
    <mergeCell ref="B47:C47"/>
    <mergeCell ref="F31:I31"/>
    <mergeCell ref="B31:E31"/>
  </mergeCells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4" defaultRowHeight="16" customHeight="1" x14ac:dyDescent="0.2"/>
  <cols>
    <col min="1" max="256" width="14" style="1" customWidth="1"/>
  </cols>
  <sheetData>
    <row r="1" spans="1:5" ht="16.5" customHeight="1" x14ac:dyDescent="0.2">
      <c r="A1" s="91"/>
      <c r="B1" s="91"/>
      <c r="C1" s="91"/>
      <c r="D1" s="91"/>
      <c r="E1" s="91"/>
    </row>
    <row r="2" spans="1:5" ht="16.5" customHeight="1" x14ac:dyDescent="0.2">
      <c r="A2" s="92"/>
      <c r="B2" s="93"/>
      <c r="C2" s="94"/>
      <c r="D2" s="94"/>
      <c r="E2" s="94"/>
    </row>
    <row r="3" spans="1:5" ht="16.25" customHeight="1" x14ac:dyDescent="0.2">
      <c r="A3" s="95"/>
      <c r="B3" s="96"/>
      <c r="C3" s="97"/>
      <c r="D3" s="97"/>
      <c r="E3" s="97"/>
    </row>
    <row r="4" spans="1:5" ht="16.25" customHeight="1" x14ac:dyDescent="0.2">
      <c r="A4" s="95"/>
      <c r="B4" s="96"/>
      <c r="C4" s="97"/>
      <c r="D4" s="97"/>
      <c r="E4" s="97"/>
    </row>
    <row r="5" spans="1:5" ht="16.25" customHeight="1" x14ac:dyDescent="0.2">
      <c r="A5" s="95"/>
      <c r="B5" s="96"/>
      <c r="C5" s="97"/>
      <c r="D5" s="97"/>
      <c r="E5" s="97"/>
    </row>
    <row r="6" spans="1:5" ht="16.25" customHeight="1" x14ac:dyDescent="0.2">
      <c r="A6" s="95"/>
      <c r="B6" s="96"/>
      <c r="C6" s="97"/>
      <c r="D6" s="97"/>
      <c r="E6" s="97"/>
    </row>
    <row r="7" spans="1:5" ht="16.25" customHeight="1" x14ac:dyDescent="0.2">
      <c r="A7" s="95"/>
      <c r="B7" s="96"/>
      <c r="C7" s="97"/>
      <c r="D7" s="97"/>
      <c r="E7" s="97"/>
    </row>
    <row r="8" spans="1:5" ht="16.25" customHeight="1" x14ac:dyDescent="0.2">
      <c r="A8" s="95"/>
      <c r="B8" s="96"/>
      <c r="C8" s="97"/>
      <c r="D8" s="97"/>
      <c r="E8" s="97"/>
    </row>
    <row r="9" spans="1:5" ht="16.25" customHeight="1" x14ac:dyDescent="0.2">
      <c r="A9" s="95"/>
      <c r="B9" s="96"/>
      <c r="C9" s="97"/>
      <c r="D9" s="97"/>
      <c r="E9" s="97"/>
    </row>
    <row r="10" spans="1:5" ht="16.25" customHeight="1" x14ac:dyDescent="0.2">
      <c r="A10" s="95"/>
      <c r="B10" s="96"/>
      <c r="C10" s="97"/>
      <c r="D10" s="97"/>
      <c r="E10" s="97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Нехаев</cp:lastModifiedBy>
  <dcterms:modified xsi:type="dcterms:W3CDTF">2024-07-03T14:38:46Z</dcterms:modified>
</cp:coreProperties>
</file>